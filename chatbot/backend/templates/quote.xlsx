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<sst xmlns="http://schemas.openxmlformats.org/spreadsheetml/2006/main" count="78" uniqueCount="55">
  <si>
    <t xml:space="preserve">QUOTE NO. </t>
  </si>
  <si>
    <t>ENQUIRY NO.</t>
  </si>
  <si>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</si>
  <si>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</si>
  <si>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</si>
  <si>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</si>
  <si>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</si>
  <si>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</si>
  <si>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</si>
  <si>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</si>
  <si>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</si>
  <si>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</si>
  <si>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</si>
  <si>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HSN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</si>
  <si>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</si>
  <si>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</si>
  <si>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</si>
  <si>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</si>
  <si>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</si>
  <si>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</si>
  <si>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</si>
  <si>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</si>
  <si>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</si>
  <si>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Formic acid, 85%</t>
  </si>
  <si>
    <t>ASF2569</t>
  </si>
  <si>
    <t>29151100</t>
  </si>
  <si>
    <t>HYMA</t>
  </si>
  <si>
    <t>100ml</t>
  </si>
  <si>
    <t>500ml</t>
  </si>
  <si>
    <t>2.5Lt</t>
  </si>
  <si>
    <t>Formic acid</t>
  </si>
  <si>
    <t>ALF1072</t>
  </si>
  <si>
    <t>Formic acid, 98%</t>
  </si>
  <si>
    <t>ASF1362</t>
  </si>
  <si>
    <t>Formic Acid [for LC-MS]</t>
  </si>
  <si>
    <t>F0654</t>
  </si>
  <si>
    <t/>
  </si>
  <si>
    <t>TCI</t>
  </si>
  <si>
    <t>25ml</t>
  </si>
  <si>
    <t>Formic Acid</t>
  </si>
  <si>
    <t>F0513</t>
  </si>
  <si>
    <t>TOTAL</t>
  </si>
  <si>
    <t>Discount - 10% for Value -  Rs.</t>
  </si>
  <si>
    <t xml:space="preserve">GST -18% </t>
  </si>
  <si>
    <t xml:space="preserve">(Different Discount) Narration </t>
  </si>
  <si>
    <t>GST -12%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</si>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</sst>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Book Antiqua"/>
    </font>
    <font>
      <b/>
      <sz val="11.0"/>
      <color theme="1"/>
      <name val="Calibri"/>
    </font>
    <font>
      <sz val="11.0"/>
      <color theme="1"/>
      <name val="Book Antiqua"/>
    </font>
    <font/>
    <font>
      <color theme="1"/>
      <name val="Calibri"/>
      <scheme val="minor"/>
    </font>
    <font>
      <b/>
      <u/>
      <sz val="11.0"/>
      <color theme="1"/>
      <name val="Book Antiqua"/>
    </font>
    <font>
      <sz val="11.0"/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1" fillId="2" fontId="2" numFmtId="0" xfId="0" applyAlignment="1" applyBorder="1" applyFill="1" applyFont="1">
      <alignment horizontal="left"/>
    </xf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1" fillId="2" fontId="4" numFmtId="2" xfId="0" applyAlignment="1" applyBorder="1" applyFont="1" applyNumberFormat="1">
      <alignment horizontal="center"/>
    </xf>
    <xf borderId="1" fillId="2" fontId="4" numFmtId="9" xfId="0" applyAlignment="1" applyBorder="1" applyFont="1" applyNumberFormat="1">
      <alignment horizontal="center"/>
    </xf>
    <xf borderId="2" fillId="2" fontId="2" numFmtId="0" xfId="0" applyAlignment="1" applyBorder="1" applyFont="1">
      <alignment horizontal="left"/>
    </xf>
    <xf borderId="3" fillId="0" fontId="5" numFmtId="0" xfId="0" applyBorder="1" applyFont="1"/>
    <xf borderId="4" fillId="0" fontId="5" numFmtId="0" xfId="0" applyBorder="1" applyFont="1"/>
    <xf borderId="1" fillId="2" fontId="4" numFmtId="0" xfId="0" applyAlignment="1" applyBorder="1" applyFont="1">
      <alignment horizontal="left"/>
    </xf>
    <xf borderId="1" fillId="2" fontId="4" numFmtId="0" xfId="0" applyBorder="1" applyFont="1"/>
    <xf borderId="1" fillId="2" fontId="4" numFmtId="0" xfId="0" applyAlignment="1" applyBorder="1" applyFont="1">
      <alignment horizontal="center"/>
    </xf>
    <xf borderId="2" fillId="2" fontId="2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left"/>
    </xf>
    <xf borderId="5" fillId="0" fontId="4" numFmtId="0" xfId="0" applyBorder="1" applyFont="1"/>
    <xf borderId="5" fillId="0" fontId="4" numFmtId="0" xfId="0" applyAlignment="1" applyBorder="1" applyFont="1">
      <alignment horizontal="center"/>
    </xf>
    <xf borderId="5" fillId="2" fontId="2" numFmtId="0" xfId="0" applyAlignment="1" applyBorder="1" applyFont="1">
      <alignment horizontal="left"/>
    </xf>
    <xf borderId="5" fillId="0" fontId="2" numFmtId="0" xfId="0" applyAlignment="1" applyBorder="1" applyFont="1">
      <alignment horizontal="center"/>
    </xf>
    <xf borderId="5" fillId="0" fontId="2" numFmtId="0" xfId="0" applyBorder="1" applyFont="1"/>
    <xf borderId="0" fillId="0" fontId="6" numFmtId="0" xfId="0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2" xfId="0" applyFont="1" applyNumberFormat="1"/>
    <xf borderId="0" fillId="0" fontId="2" numFmtId="2" xfId="0" applyFont="1" applyNumberFormat="1"/>
    <xf borderId="1" fillId="2" fontId="7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542925</xdr:colOff>
      <xdr:row>0</xdr:row>
      <xdr:rowOff>66675</xdr:rowOff>
    </xdr:from>
    <xdr:ext cx="2924175" cy="847725"/>
    <xdr:pic>
      <xdr:nvPicPr>
        <xdr:cNvPr descr="KAvin lette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39</xdr:row>
      <xdr:rowOff>190500</xdr:rowOff>
    </xdr:from>
    <xdr:ext cx="1076325" cy="200025"/>
    <xdr:pic>
      <xdr:nvPicPr>
        <xdr:cNvPr descr="Sig_2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1.86"/>
    <col customWidth="1" min="3" max="9" width="8.71"/>
    <col customWidth="1" min="10" max="10" width="6.71"/>
    <col customWidth="1" min="11" max="26" width="8.71"/>
  </cols>
  <sheetData>
    <row r="1" ht="14.25" customHeight="1">
      <c r="A1" s="1"/>
      <c r="C1" s="2"/>
      <c r="D1" s="2"/>
      <c r="E1" s="2"/>
      <c r="F1" s="2"/>
      <c r="H1" s="2"/>
    </row>
    <row r="2" ht="14.25" customHeight="1">
      <c r="A2" s="3" t="s">
        <v>0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ht="14.25" customHeight="1">
      <c r="A3" s="1" t="s">
        <v>1</v>
      </c>
      <c r="C3" s="2"/>
      <c r="D3" s="2"/>
      <c r="E3" s="2"/>
      <c r="F3" s="2"/>
      <c r="H3" s="2"/>
    </row>
    <row r="4" ht="14.25" customHeight="1">
      <c r="A4" s="8" t="s">
        <v>2</v>
      </c>
      <c r="B4" s="9"/>
      <c r="C4" s="10"/>
      <c r="D4" s="10"/>
      <c r="E4" s="11"/>
      <c r="F4" s="12"/>
      <c r="G4" s="12"/>
      <c r="H4" s="12"/>
      <c r="I4" s="13"/>
    </row>
    <row r="5" ht="14.25" customHeight="1">
      <c r="A5" s="8" t="s">
        <v>3</v>
      </c>
      <c r="B5" s="9"/>
      <c r="C5" s="10"/>
      <c r="D5" s="10"/>
      <c r="E5" s="11"/>
      <c r="F5" s="12"/>
      <c r="G5" s="12"/>
      <c r="H5" s="12"/>
      <c r="I5" s="13"/>
    </row>
    <row r="6" ht="14.25" customHeight="1">
      <c r="A6" s="14" t="s">
        <v>4</v>
      </c>
      <c r="B6" s="15"/>
      <c r="C6" s="15"/>
      <c r="D6" s="15"/>
      <c r="E6" s="16"/>
      <c r="F6" s="12"/>
      <c r="G6" s="12"/>
      <c r="H6" s="12"/>
      <c r="I6" s="13"/>
    </row>
    <row r="7" ht="14.25" customHeight="1">
      <c r="A7" s="8" t="s">
        <v>5</v>
      </c>
      <c r="B7" s="9"/>
      <c r="C7" s="10"/>
      <c r="D7" s="10"/>
      <c r="E7" s="11"/>
      <c r="F7" s="12"/>
      <c r="G7" s="12"/>
      <c r="H7" s="12"/>
      <c r="I7" s="13"/>
    </row>
    <row r="8" ht="14.25" customHeight="1">
      <c r="A8" s="17"/>
      <c r="B8" s="18"/>
      <c r="C8" s="19"/>
      <c r="D8" s="19"/>
      <c r="E8" s="11"/>
      <c r="F8" s="12"/>
      <c r="G8" s="12"/>
      <c r="H8" s="12"/>
      <c r="I8" s="13"/>
    </row>
    <row r="9" ht="14.25" customHeight="1">
      <c r="A9" s="17" t="s">
        <v>6</v>
      </c>
      <c r="B9" s="17"/>
      <c r="C9" s="19"/>
      <c r="D9" s="19"/>
      <c r="E9" s="11"/>
      <c r="F9" s="12"/>
      <c r="G9" s="12"/>
      <c r="H9" s="12"/>
      <c r="I9" s="13"/>
    </row>
    <row r="10" ht="14.25" customHeight="1">
      <c r="A10" s="17" t="s">
        <v>7</v>
      </c>
      <c r="B10" s="17"/>
      <c r="C10" s="19"/>
      <c r="D10" s="19"/>
      <c r="E10" s="11"/>
      <c r="F10" s="12"/>
      <c r="G10" s="12"/>
      <c r="H10" s="12"/>
      <c r="I10" s="13"/>
    </row>
    <row r="11" ht="14.25" customHeight="1">
      <c r="A11" s="17" t="s">
        <v>8</v>
      </c>
      <c r="B11" s="17"/>
      <c r="C11" s="19"/>
      <c r="D11" s="19"/>
      <c r="E11" s="11"/>
      <c r="F11" s="12"/>
      <c r="G11" s="12"/>
      <c r="H11" s="12"/>
      <c r="I11" s="13"/>
    </row>
    <row r="12" ht="14.25" customHeight="1">
      <c r="A12" s="17"/>
      <c r="B12" s="17"/>
      <c r="C12" s="19"/>
      <c r="D12" s="19"/>
      <c r="E12" s="20" t="s">
        <v>9</v>
      </c>
      <c r="F12" s="15"/>
      <c r="G12" s="16"/>
      <c r="H12" s="12"/>
      <c r="I12" s="13"/>
    </row>
    <row r="13" ht="14.25" customHeight="1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ht="14.25" customHeight="1">
      <c r="A14" s="24" t="s">
        <v>10</v>
      </c>
      <c r="B14" s="25" t="s">
        <v>11</v>
      </c>
      <c r="C14" s="25" t="s">
        <v>12</v>
      </c>
      <c r="D14" s="25" t="s">
        <v>13</v>
      </c>
      <c r="E14" s="25" t="s">
        <v>14</v>
      </c>
      <c r="F14" s="25" t="s">
        <v>15</v>
      </c>
      <c r="G14" s="26" t="s">
        <v>16</v>
      </c>
      <c r="H14" s="25" t="s">
        <v>17</v>
      </c>
      <c r="I14" s="26" t="s">
        <v>16</v>
      </c>
      <c r="J14" s="26" t="s">
        <v>18</v>
      </c>
      <c r="K14" s="26" t="s">
        <v>19</v>
      </c>
      <c r="L14" s="26" t="s">
        <v>20</v>
      </c>
      <c r="M14" s="26" t="s">
        <v>21</v>
      </c>
      <c r="N14" s="26" t="s">
        <v>22</v>
      </c>
    </row>
    <row r="15" ht="14.25" customHeight="1">
      <c r="A15" s="27">
        <v>1.0</v>
      </c>
      <c r="B15" s="27" t="s">
        <v>23</v>
      </c>
      <c r="C15" s="27" t="s">
        <v>24</v>
      </c>
      <c r="D15" s="27" t="s">
        <v>25</v>
      </c>
      <c r="E15" s="27" t="s">
        <v>26</v>
      </c>
      <c r="F15" s="27" t="s">
        <v>27</v>
      </c>
      <c r="G15" s="27">
        <v>220.0</v>
      </c>
      <c r="H15" s="27">
        <v>0.0</v>
      </c>
      <c r="I15" s="27">
        <f t="shared" ref="I15:I22" si="1">G15*(1-H15/100)</f>
        <v>220</v>
      </c>
      <c r="J15" s="27">
        <v>1.0</v>
      </c>
      <c r="K15" s="27">
        <f t="shared" ref="K15:K22" si="2">I15*J15</f>
        <v>220</v>
      </c>
      <c r="L15" s="27">
        <v>0.18</v>
      </c>
      <c r="M15" s="27">
        <f t="shared" ref="M15:M22" si="3">K15*L15</f>
        <v>39.6</v>
      </c>
      <c r="N15" s="27">
        <f t="shared" ref="N15:N22" si="4">K15+M15</f>
        <v>259.6</v>
      </c>
    </row>
    <row r="16" ht="14.25" customHeight="1">
      <c r="A16" s="27">
        <v>2.0</v>
      </c>
      <c r="B16" s="27" t="s">
        <v>23</v>
      </c>
      <c r="C16" s="27" t="s">
        <v>24</v>
      </c>
      <c r="D16" s="27" t="s">
        <v>25</v>
      </c>
      <c r="E16" s="27" t="s">
        <v>26</v>
      </c>
      <c r="F16" s="27" t="s">
        <v>28</v>
      </c>
      <c r="G16" s="27">
        <v>407.0</v>
      </c>
      <c r="H16" s="27">
        <v>0.0</v>
      </c>
      <c r="I16" s="27">
        <f t="shared" si="1"/>
        <v>407</v>
      </c>
      <c r="J16" s="27">
        <v>1.0</v>
      </c>
      <c r="K16" s="27">
        <f t="shared" si="2"/>
        <v>407</v>
      </c>
      <c r="L16" s="27">
        <v>0.18</v>
      </c>
      <c r="M16" s="27">
        <f t="shared" si="3"/>
        <v>73.26</v>
      </c>
      <c r="N16" s="27">
        <f t="shared" si="4"/>
        <v>480.26</v>
      </c>
    </row>
    <row r="17" ht="14.25" customHeight="1">
      <c r="A17" s="27">
        <v>3.0</v>
      </c>
      <c r="B17" s="27" t="s">
        <v>23</v>
      </c>
      <c r="C17" s="27" t="s">
        <v>24</v>
      </c>
      <c r="D17" s="27" t="s">
        <v>25</v>
      </c>
      <c r="E17" s="27" t="s">
        <v>26</v>
      </c>
      <c r="F17" s="27" t="s">
        <v>29</v>
      </c>
      <c r="G17" s="27">
        <v>1320.0</v>
      </c>
      <c r="H17" s="27">
        <v>0.0</v>
      </c>
      <c r="I17" s="27">
        <f t="shared" si="1"/>
        <v>1320</v>
      </c>
      <c r="J17" s="27">
        <v>1.0</v>
      </c>
      <c r="K17" s="27">
        <f t="shared" si="2"/>
        <v>1320</v>
      </c>
      <c r="L17" s="27">
        <v>0.18</v>
      </c>
      <c r="M17" s="27">
        <f t="shared" si="3"/>
        <v>237.6</v>
      </c>
      <c r="N17" s="27">
        <f t="shared" si="4"/>
        <v>1557.6</v>
      </c>
    </row>
    <row r="18" ht="14.25" customHeight="1">
      <c r="A18" s="27">
        <v>4.0</v>
      </c>
      <c r="B18" s="27" t="s">
        <v>30</v>
      </c>
      <c r="C18" s="27" t="s">
        <v>31</v>
      </c>
      <c r="D18" s="27" t="s">
        <v>25</v>
      </c>
      <c r="E18" s="27" t="s">
        <v>26</v>
      </c>
      <c r="F18" s="27" t="s">
        <v>28</v>
      </c>
      <c r="G18" s="27">
        <v>770.0</v>
      </c>
      <c r="H18" s="27">
        <v>0.0</v>
      </c>
      <c r="I18" s="27">
        <f t="shared" si="1"/>
        <v>770</v>
      </c>
      <c r="J18" s="27">
        <v>1.0</v>
      </c>
      <c r="K18" s="27">
        <f t="shared" si="2"/>
        <v>770</v>
      </c>
      <c r="L18" s="27">
        <v>0.18</v>
      </c>
      <c r="M18" s="27">
        <f t="shared" si="3"/>
        <v>138.6</v>
      </c>
      <c r="N18" s="27">
        <f t="shared" si="4"/>
        <v>908.6</v>
      </c>
    </row>
    <row r="19" ht="14.25" customHeight="1">
      <c r="A19" s="27">
        <v>5.0</v>
      </c>
      <c r="B19" s="27" t="s">
        <v>32</v>
      </c>
      <c r="C19" s="27" t="s">
        <v>33</v>
      </c>
      <c r="D19" s="27" t="s">
        <v>25</v>
      </c>
      <c r="E19" s="27" t="s">
        <v>26</v>
      </c>
      <c r="F19" s="27" t="s">
        <v>28</v>
      </c>
      <c r="G19" s="27">
        <v>770.0</v>
      </c>
      <c r="H19" s="27">
        <v>0.0</v>
      </c>
      <c r="I19" s="27">
        <f t="shared" si="1"/>
        <v>770</v>
      </c>
      <c r="J19" s="27">
        <v>1.0</v>
      </c>
      <c r="K19" s="27">
        <f t="shared" si="2"/>
        <v>770</v>
      </c>
      <c r="L19" s="27">
        <v>0.18</v>
      </c>
      <c r="M19" s="27">
        <f t="shared" si="3"/>
        <v>138.6</v>
      </c>
      <c r="N19" s="27">
        <f t="shared" si="4"/>
        <v>908.6</v>
      </c>
    </row>
    <row r="20" ht="14.25" customHeight="1">
      <c r="A20" s="27">
        <v>6.0</v>
      </c>
      <c r="B20" s="27" t="s">
        <v>32</v>
      </c>
      <c r="C20" s="27" t="s">
        <v>33</v>
      </c>
      <c r="D20" s="27" t="s">
        <v>25</v>
      </c>
      <c r="E20" s="27" t="s">
        <v>26</v>
      </c>
      <c r="F20" s="27" t="s">
        <v>29</v>
      </c>
      <c r="G20" s="27">
        <v>3220.0</v>
      </c>
      <c r="H20" s="27">
        <v>0.0</v>
      </c>
      <c r="I20" s="27">
        <f t="shared" si="1"/>
        <v>3220</v>
      </c>
      <c r="J20" s="27">
        <v>1.0</v>
      </c>
      <c r="K20" s="27">
        <f t="shared" si="2"/>
        <v>3220</v>
      </c>
      <c r="L20" s="27">
        <v>0.18</v>
      </c>
      <c r="M20" s="27">
        <f t="shared" si="3"/>
        <v>579.6</v>
      </c>
      <c r="N20" s="27">
        <f t="shared" si="4"/>
        <v>3799.6</v>
      </c>
    </row>
    <row r="21" ht="14.25" customHeight="1">
      <c r="A21" s="27">
        <v>7.0</v>
      </c>
      <c r="B21" s="27" t="s">
        <v>34</v>
      </c>
      <c r="C21" s="27" t="s">
        <v>35</v>
      </c>
      <c r="D21" s="27" t="s">
        <v>36</v>
      </c>
      <c r="E21" s="27" t="s">
        <v>37</v>
      </c>
      <c r="F21" s="27" t="s">
        <v>38</v>
      </c>
      <c r="G21" s="27">
        <v>4600.0</v>
      </c>
      <c r="H21" s="27">
        <v>0.0</v>
      </c>
      <c r="I21" s="27">
        <f t="shared" si="1"/>
        <v>4600</v>
      </c>
      <c r="J21" s="27">
        <v>1.0</v>
      </c>
      <c r="K21" s="27">
        <f t="shared" si="2"/>
        <v>4600</v>
      </c>
      <c r="L21" s="27">
        <v>0.18</v>
      </c>
      <c r="M21" s="27">
        <f t="shared" si="3"/>
        <v>828</v>
      </c>
      <c r="N21" s="27">
        <f t="shared" si="4"/>
        <v>5428</v>
      </c>
    </row>
    <row r="22" ht="14.25" customHeight="1">
      <c r="A22" s="27">
        <v>8.0</v>
      </c>
      <c r="B22" s="27" t="s">
        <v>39</v>
      </c>
      <c r="C22" s="27" t="s">
        <v>40</v>
      </c>
      <c r="D22" s="27" t="s">
        <v>36</v>
      </c>
      <c r="E22" s="27" t="s">
        <v>37</v>
      </c>
      <c r="F22" s="27" t="s">
        <v>36</v>
      </c>
      <c r="G22" s="27">
        <v>0.0</v>
      </c>
      <c r="H22" s="27">
        <v>0.0</v>
      </c>
      <c r="I22" s="27">
        <f t="shared" si="1"/>
        <v>0</v>
      </c>
      <c r="J22" s="27">
        <v>1.0</v>
      </c>
      <c r="K22" s="27">
        <f t="shared" si="2"/>
        <v>0</v>
      </c>
      <c r="L22" s="27">
        <v>0.18</v>
      </c>
      <c r="M22" s="27">
        <f t="shared" si="3"/>
        <v>0</v>
      </c>
      <c r="N22" s="27">
        <f t="shared" si="4"/>
        <v>0</v>
      </c>
    </row>
    <row r="23" ht="14.25" customHeight="1">
      <c r="A23" s="27" t="s">
        <v>41</v>
      </c>
      <c r="N23" s="27">
        <f>SUM(N15:N22)</f>
        <v>13342.26</v>
      </c>
    </row>
    <row r="24" ht="14.25" customHeight="1">
      <c r="A24" s="28"/>
      <c r="B24" s="29"/>
      <c r="C24" s="28"/>
      <c r="D24" s="28"/>
      <c r="E24" s="28"/>
      <c r="F24" s="28"/>
      <c r="G24" s="30"/>
      <c r="H24" s="28"/>
      <c r="I24" s="30"/>
      <c r="J24" s="28"/>
      <c r="K24" s="30"/>
      <c r="L24" s="29"/>
      <c r="M24" s="4"/>
      <c r="N24" s="31"/>
    </row>
    <row r="25" ht="14.25" customHeight="1">
      <c r="A25" s="28"/>
      <c r="B25" s="29" t="s">
        <v>42</v>
      </c>
      <c r="C25" s="28"/>
      <c r="D25" s="28"/>
      <c r="E25" s="28"/>
      <c r="F25" s="28"/>
      <c r="G25" s="30" t="s">
        <v>43</v>
      </c>
      <c r="H25" s="28"/>
      <c r="I25" s="30"/>
      <c r="J25" s="28"/>
      <c r="K25" s="30"/>
      <c r="L25" s="29"/>
      <c r="M25" s="4"/>
      <c r="N25" s="31"/>
    </row>
    <row r="26" ht="14.25" customHeight="1">
      <c r="A26" s="28"/>
      <c r="B26" s="29" t="s">
        <v>44</v>
      </c>
      <c r="C26" s="28"/>
      <c r="D26" s="28"/>
      <c r="E26" s="28"/>
      <c r="F26" s="28"/>
      <c r="G26" s="30" t="s">
        <v>45</v>
      </c>
      <c r="H26" s="28"/>
      <c r="I26" s="30"/>
      <c r="J26" s="28"/>
      <c r="K26" s="30"/>
      <c r="L26" s="29"/>
      <c r="M26" s="4"/>
      <c r="N26" s="31"/>
    </row>
    <row r="27" ht="14.25" customHeight="1">
      <c r="A27" s="28"/>
      <c r="B27" s="29"/>
      <c r="C27" s="28"/>
      <c r="D27" s="28"/>
      <c r="E27" s="28"/>
      <c r="F27" s="28"/>
      <c r="G27" s="30"/>
      <c r="H27" s="28"/>
      <c r="I27" s="30"/>
      <c r="J27" s="28"/>
      <c r="K27" s="30"/>
      <c r="L27" s="29"/>
      <c r="M27" s="4"/>
      <c r="N27" s="31"/>
    </row>
    <row r="28" ht="14.25" customHeight="1">
      <c r="A28" s="1"/>
      <c r="C28" s="2"/>
      <c r="D28" s="2"/>
      <c r="E28" s="2"/>
      <c r="F28" s="2"/>
      <c r="H28" s="2"/>
    </row>
    <row r="29" ht="14.25" customHeight="1">
      <c r="A29" s="32" t="s">
        <v>46</v>
      </c>
      <c r="B29" s="18"/>
      <c r="C29" s="19"/>
      <c r="D29" s="19"/>
      <c r="E29" s="2"/>
      <c r="F29" s="2"/>
      <c r="H29" s="2"/>
    </row>
    <row r="30" ht="14.25" customHeight="1">
      <c r="A30" s="17" t="s">
        <v>47</v>
      </c>
      <c r="B30" s="18"/>
      <c r="C30" s="19"/>
      <c r="D30" s="19"/>
      <c r="E30" s="2"/>
      <c r="F30" s="2"/>
      <c r="H30" s="2"/>
    </row>
    <row r="31" ht="14.25" customHeight="1">
      <c r="A31" s="17" t="s">
        <v>48</v>
      </c>
      <c r="B31" s="18"/>
      <c r="C31" s="19"/>
      <c r="D31" s="19"/>
      <c r="E31" s="2"/>
      <c r="F31" s="2"/>
      <c r="H31" s="2"/>
    </row>
    <row r="32" ht="14.25" customHeight="1">
      <c r="A32" s="17" t="s">
        <v>49</v>
      </c>
      <c r="B32" s="18"/>
      <c r="C32" s="19"/>
      <c r="D32" s="19"/>
      <c r="E32" s="2"/>
      <c r="F32" s="2"/>
      <c r="H32" s="2"/>
    </row>
    <row r="33" ht="14.25" customHeight="1">
      <c r="A33" s="17" t="s">
        <v>50</v>
      </c>
      <c r="B33" s="18"/>
      <c r="C33" s="19"/>
      <c r="D33" s="19"/>
      <c r="E33" s="2"/>
      <c r="F33" s="2"/>
      <c r="H33" s="2"/>
    </row>
    <row r="34" ht="14.25" customHeight="1">
      <c r="A34" s="17"/>
      <c r="B34" s="18"/>
      <c r="C34" s="19"/>
      <c r="D34" s="19"/>
      <c r="E34" s="2"/>
      <c r="F34" s="2"/>
      <c r="H34" s="2"/>
    </row>
    <row r="35" ht="14.25" customHeight="1">
      <c r="A35" s="33" t="s">
        <v>51</v>
      </c>
      <c r="B35" s="33"/>
      <c r="C35" s="34"/>
      <c r="D35" s="34"/>
      <c r="E35" s="2"/>
      <c r="F35" s="2"/>
      <c r="H35" s="2"/>
    </row>
    <row r="36" ht="14.25" customHeight="1">
      <c r="A36" s="33"/>
      <c r="B36" s="33"/>
      <c r="C36" s="34"/>
      <c r="D36" s="34"/>
      <c r="E36" s="2"/>
      <c r="F36" s="2"/>
      <c r="H36" s="2"/>
    </row>
    <row r="37" ht="14.25" customHeight="1">
      <c r="A37" s="33" t="s">
        <v>52</v>
      </c>
      <c r="B37" s="33"/>
      <c r="C37" s="34"/>
      <c r="D37" s="34"/>
      <c r="E37" s="2"/>
      <c r="F37" s="2"/>
      <c r="H37" s="2"/>
    </row>
    <row r="38" ht="14.25" customHeight="1">
      <c r="A38" s="33"/>
      <c r="B38" s="33"/>
      <c r="C38" s="34"/>
      <c r="D38" s="34"/>
      <c r="E38" s="2"/>
      <c r="F38" s="2"/>
      <c r="H38" s="2"/>
    </row>
    <row r="39" ht="14.25" customHeight="1">
      <c r="A39" s="33" t="s">
        <v>53</v>
      </c>
      <c r="B39" s="33"/>
      <c r="C39" s="34"/>
      <c r="D39" s="34"/>
      <c r="E39" s="2"/>
      <c r="F39" s="2"/>
      <c r="H39" s="2"/>
    </row>
    <row r="40" ht="14.25" customHeight="1">
      <c r="A40" s="33"/>
      <c r="B40" s="33"/>
      <c r="C40" s="34"/>
      <c r="D40" s="34"/>
      <c r="E40" s="2"/>
      <c r="F40" s="2"/>
      <c r="H40" s="2"/>
    </row>
    <row r="41" ht="14.25" customHeight="1">
      <c r="A41" s="33"/>
      <c r="C41" s="34"/>
      <c r="D41" s="34"/>
      <c r="E41" s="2"/>
      <c r="F41" s="2"/>
      <c r="H41" s="2"/>
    </row>
    <row r="42" ht="14.25" customHeight="1">
      <c r="A42" s="33"/>
      <c r="B42" s="33"/>
      <c r="C42" s="34"/>
      <c r="D42" s="34"/>
      <c r="E42" s="2"/>
      <c r="F42" s="2"/>
      <c r="H42" s="2"/>
    </row>
    <row r="43" ht="14.25" customHeight="1">
      <c r="A43" s="33" t="s">
        <v>54</v>
      </c>
      <c r="B43" s="35"/>
      <c r="C43" s="34"/>
      <c r="D43" s="34"/>
      <c r="E43" s="2"/>
      <c r="F43" s="2"/>
      <c r="H43" s="2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6:E6"/>
    <mergeCell ref="E12:G12"/>
    <mergeCell ref="A41:B41"/>
  </mergeCells>
  <printOptions/>
  <pageMargins bottom="0.75" footer="0.0" header="0.0" left="0.7" right="0.7" top="0.75"/>
  <pageSetup orientation="landscape"/>
  <drawing r:id="rId1"/>
</worksheet>
</file>